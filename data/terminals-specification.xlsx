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Workspace\optimization\truck-planning\data\"/>
    </mc:Choice>
  </mc:AlternateContent>
  <xr:revisionPtr revIDLastSave="0" documentId="13_ncr:1_{C5788D14-86B3-4BBD-930B-722CB7F757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ecific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E17" i="3"/>
  <c r="D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F4" i="3"/>
  <c r="F6" i="3" s="1"/>
  <c r="F8" i="3" s="1"/>
  <c r="F10" i="3" s="1"/>
  <c r="F11" i="3" s="1"/>
  <c r="F13" i="3" s="1"/>
  <c r="F14" i="3" s="1"/>
  <c r="F16" i="3" s="1"/>
  <c r="E5" i="3"/>
  <c r="E6" i="3" s="1"/>
  <c r="E3" i="3"/>
  <c r="E8" i="3" l="1"/>
  <c r="E10" i="3" s="1"/>
  <c r="E13" i="3" s="1"/>
  <c r="E16" i="3" s="1"/>
</calcChain>
</file>

<file path=xl/sharedStrings.xml><?xml version="1.0" encoding="utf-8"?>
<sst xmlns="http://schemas.openxmlformats.org/spreadsheetml/2006/main" count="24" uniqueCount="24">
  <si>
    <t>Collection_Point01</t>
  </si>
  <si>
    <t>Collection_Point02</t>
  </si>
  <si>
    <t>Collection_Point03</t>
  </si>
  <si>
    <t>Collection_Point04</t>
  </si>
  <si>
    <t>Collection_Point05</t>
  </si>
  <si>
    <t>Collection_Point06</t>
  </si>
  <si>
    <t>Collection_Point07</t>
  </si>
  <si>
    <t>Collection_Point08</t>
  </si>
  <si>
    <t>Collection_Point09</t>
  </si>
  <si>
    <t>Collection_Point10</t>
  </si>
  <si>
    <t>Collection_Point11</t>
  </si>
  <si>
    <t>Collection_Point12</t>
  </si>
  <si>
    <t>Collection_Point13</t>
  </si>
  <si>
    <t>Unload_Terminal_A</t>
  </si>
  <si>
    <t>Unload_Terminal_B</t>
  </si>
  <si>
    <t>Operational_days_per_week</t>
  </si>
  <si>
    <t>Start_Hour</t>
  </si>
  <si>
    <t>Close_Hour</t>
  </si>
  <si>
    <t>Terminals</t>
  </si>
  <si>
    <t>Terminal_Capacity_Tons_Per_Month</t>
  </si>
  <si>
    <t>Time_to_load</t>
  </si>
  <si>
    <t>Time_to_unload</t>
  </si>
  <si>
    <t>Operational_average_days_per_month</t>
  </si>
  <si>
    <t>Unload_Terminal_C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</si>
</sst>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tabSelected="1" zoomScale="70" zoomScaleNormal="70" workbookViewId="0"/>
  </sheetViews>
  <sheetFormatPr defaultRowHeight="14.5" x14ac:dyDescent="0.35"/>
  <cols>
    <col min="1" max="1" width="17.54296875" bestFit="1" customWidth="1"/>
    <col min="2" max="2" width="32.26953125" bestFit="1" customWidth="1"/>
    <col min="3" max="3" width="25" bestFit="1" customWidth="1"/>
    <col min="4" max="4" width="34.1796875" bestFit="1" customWidth="1"/>
    <col min="5" max="5" width="19.08984375" customWidth="1"/>
    <col min="6" max="6" width="10.453125" bestFit="1" customWidth="1"/>
    <col min="7" max="7" width="13.54296875" customWidth="1"/>
    <col min="8" max="8" width="14.08984375" customWidth="1"/>
  </cols>
  <sheetData>
    <row r="1" spans="1:8" x14ac:dyDescent="0.35">
      <c r="A1" s="2" t="s">
        <v>18</v>
      </c>
      <c r="B1" s="2" t="s">
        <v>19</v>
      </c>
      <c r="C1" s="2" t="s">
        <v>15</v>
      </c>
      <c r="D1" s="2" t="s">
        <v>22</v>
      </c>
      <c r="E1" s="2" t="s">
        <v>16</v>
      </c>
      <c r="F1" s="2" t="s">
        <v>17</v>
      </c>
      <c r="G1" s="2" t="s">
        <v>20</v>
      </c>
      <c r="H1" s="2" t="s">
        <v>21</v>
      </c>
    </row>
    <row r="2" spans="1:8" x14ac:dyDescent="0.35">
      <c r="A2" s="3" t="s">
        <v>0</v>
      </c>
      <c r="B2" s="4">
        <v>15430</v>
      </c>
      <c r="C2" s="4">
        <v>6</v>
      </c>
      <c r="D2" s="4">
        <f>4*C2</f>
        <v>24</v>
      </c>
      <c r="E2" s="1">
        <v>0.25</v>
      </c>
      <c r="F2" s="1">
        <v>0.72916666666666663</v>
      </c>
      <c r="G2" s="1">
        <v>4.1666666666666664E-2</v>
      </c>
      <c r="H2" s="4"/>
    </row>
    <row r="3" spans="1:8" x14ac:dyDescent="0.35">
      <c r="A3" s="3" t="s">
        <v>1</v>
      </c>
      <c r="B3" s="4">
        <v>9684</v>
      </c>
      <c r="C3" s="4">
        <v>6</v>
      </c>
      <c r="D3" s="4">
        <f t="shared" ref="D3:D17" si="0">4*C3</f>
        <v>24</v>
      </c>
      <c r="E3" s="1">
        <f>E2</f>
        <v>0.25</v>
      </c>
      <c r="F3" s="1">
        <v>0.75</v>
      </c>
      <c r="G3" s="1">
        <v>4.1666666666666664E-2</v>
      </c>
      <c r="H3" s="4"/>
    </row>
    <row r="4" spans="1:8" x14ac:dyDescent="0.35">
      <c r="A4" s="3" t="s">
        <v>2</v>
      </c>
      <c r="B4" s="4">
        <v>9252</v>
      </c>
      <c r="C4" s="4">
        <v>6</v>
      </c>
      <c r="D4" s="4">
        <f t="shared" si="0"/>
        <v>24</v>
      </c>
      <c r="E4" s="1">
        <v>0.29166666666666669</v>
      </c>
      <c r="F4" s="1">
        <f t="shared" ref="F4:F17" si="1">F3</f>
        <v>0.75</v>
      </c>
      <c r="G4" s="1">
        <v>4.1666666666666664E-2</v>
      </c>
      <c r="H4" s="4"/>
    </row>
    <row r="5" spans="1:8" x14ac:dyDescent="0.35">
      <c r="A5" s="3" t="s">
        <v>3</v>
      </c>
      <c r="B5" s="4">
        <v>6315</v>
      </c>
      <c r="C5" s="4">
        <v>6</v>
      </c>
      <c r="D5" s="4">
        <f t="shared" si="0"/>
        <v>24</v>
      </c>
      <c r="E5" s="1">
        <f t="shared" ref="E5:E17" si="2">E4</f>
        <v>0.29166666666666669</v>
      </c>
      <c r="F5" s="1">
        <v>0.70833333333333337</v>
      </c>
      <c r="G5" s="1">
        <v>4.1666666666666664E-2</v>
      </c>
      <c r="H5" s="4"/>
    </row>
    <row r="6" spans="1:8" x14ac:dyDescent="0.35">
      <c r="A6" s="3" t="s">
        <v>4</v>
      </c>
      <c r="B6" s="4">
        <v>10087</v>
      </c>
      <c r="C6" s="4">
        <v>6</v>
      </c>
      <c r="D6" s="4">
        <f t="shared" si="0"/>
        <v>24</v>
      </c>
      <c r="E6" s="1">
        <f t="shared" si="2"/>
        <v>0.29166666666666669</v>
      </c>
      <c r="F6" s="1">
        <f t="shared" si="1"/>
        <v>0.70833333333333337</v>
      </c>
      <c r="G6" s="1">
        <v>4.1666666666666664E-2</v>
      </c>
      <c r="H6" s="4"/>
    </row>
    <row r="7" spans="1:8" x14ac:dyDescent="0.35">
      <c r="A7" s="3" t="s">
        <v>5</v>
      </c>
      <c r="B7" s="4">
        <v>11489</v>
      </c>
      <c r="C7" s="4">
        <v>6</v>
      </c>
      <c r="D7" s="4">
        <f t="shared" si="0"/>
        <v>24</v>
      </c>
      <c r="E7" s="1">
        <v>0.25</v>
      </c>
      <c r="F7" s="1">
        <v>0.75</v>
      </c>
      <c r="G7" s="1">
        <v>4.1666666666666664E-2</v>
      </c>
      <c r="H7" s="4"/>
    </row>
    <row r="8" spans="1:8" x14ac:dyDescent="0.35">
      <c r="A8" s="3" t="s">
        <v>6</v>
      </c>
      <c r="B8" s="4">
        <v>12380</v>
      </c>
      <c r="C8" s="4">
        <v>6</v>
      </c>
      <c r="D8" s="4">
        <f t="shared" si="0"/>
        <v>24</v>
      </c>
      <c r="E8" s="1">
        <f t="shared" si="2"/>
        <v>0.25</v>
      </c>
      <c r="F8" s="1">
        <f t="shared" si="1"/>
        <v>0.75</v>
      </c>
      <c r="G8" s="1">
        <v>4.1666666666666664E-2</v>
      </c>
      <c r="H8" s="4"/>
    </row>
    <row r="9" spans="1:8" x14ac:dyDescent="0.35">
      <c r="A9" s="3" t="s">
        <v>7</v>
      </c>
      <c r="B9" s="4">
        <v>15103</v>
      </c>
      <c r="C9" s="4">
        <v>6</v>
      </c>
      <c r="D9" s="4">
        <f t="shared" si="0"/>
        <v>24</v>
      </c>
      <c r="E9" s="1">
        <v>0.27083333333333331</v>
      </c>
      <c r="F9" s="1">
        <v>0.72916666666666663</v>
      </c>
      <c r="G9" s="1">
        <v>4.1666666666666664E-2</v>
      </c>
      <c r="H9" s="4"/>
    </row>
    <row r="10" spans="1:8" x14ac:dyDescent="0.35">
      <c r="A10" s="3" t="s">
        <v>8</v>
      </c>
      <c r="B10" s="4">
        <v>8515</v>
      </c>
      <c r="C10" s="4">
        <v>6</v>
      </c>
      <c r="D10" s="4">
        <f t="shared" si="0"/>
        <v>24</v>
      </c>
      <c r="E10" s="1">
        <f t="shared" si="2"/>
        <v>0.27083333333333331</v>
      </c>
      <c r="F10" s="1">
        <f t="shared" si="1"/>
        <v>0.72916666666666663</v>
      </c>
      <c r="G10" s="1">
        <v>4.1666666666666664E-2</v>
      </c>
      <c r="H10" s="4"/>
    </row>
    <row r="11" spans="1:8" x14ac:dyDescent="0.35">
      <c r="A11" s="3" t="s">
        <v>9</v>
      </c>
      <c r="B11" s="4">
        <v>10163</v>
      </c>
      <c r="C11" s="4">
        <v>6</v>
      </c>
      <c r="D11" s="4">
        <f t="shared" si="0"/>
        <v>24</v>
      </c>
      <c r="E11" s="1">
        <v>0.29166666666666669</v>
      </c>
      <c r="F11" s="1">
        <f t="shared" si="1"/>
        <v>0.72916666666666663</v>
      </c>
      <c r="G11" s="1">
        <v>4.1666666666666664E-2</v>
      </c>
      <c r="H11" s="4"/>
    </row>
    <row r="12" spans="1:8" x14ac:dyDescent="0.35">
      <c r="A12" s="3" t="s">
        <v>10</v>
      </c>
      <c r="B12" s="4">
        <v>10826</v>
      </c>
      <c r="C12" s="4">
        <v>6</v>
      </c>
      <c r="D12" s="4">
        <f t="shared" si="0"/>
        <v>24</v>
      </c>
      <c r="E12" s="1">
        <v>0.3125</v>
      </c>
      <c r="F12" s="1">
        <v>0.75</v>
      </c>
      <c r="G12" s="1">
        <v>4.1666666666666664E-2</v>
      </c>
      <c r="H12" s="4"/>
    </row>
    <row r="13" spans="1:8" x14ac:dyDescent="0.35">
      <c r="A13" s="3" t="s">
        <v>11</v>
      </c>
      <c r="B13" s="4">
        <v>11363</v>
      </c>
      <c r="C13" s="4">
        <v>6</v>
      </c>
      <c r="D13" s="4">
        <f t="shared" si="0"/>
        <v>24</v>
      </c>
      <c r="E13" s="1">
        <f t="shared" si="2"/>
        <v>0.3125</v>
      </c>
      <c r="F13" s="1">
        <f t="shared" si="1"/>
        <v>0.75</v>
      </c>
      <c r="G13" s="1">
        <v>4.1666666666666664E-2</v>
      </c>
      <c r="H13" s="4"/>
    </row>
    <row r="14" spans="1:8" x14ac:dyDescent="0.35">
      <c r="A14" s="3" t="s">
        <v>12</v>
      </c>
      <c r="B14" s="4">
        <v>11093</v>
      </c>
      <c r="C14" s="4">
        <v>6</v>
      </c>
      <c r="D14" s="4">
        <f t="shared" si="0"/>
        <v>24</v>
      </c>
      <c r="E14" s="1">
        <v>0.27083333333333331</v>
      </c>
      <c r="F14" s="1">
        <f t="shared" si="1"/>
        <v>0.75</v>
      </c>
      <c r="G14" s="1">
        <v>4.1666666666666664E-2</v>
      </c>
      <c r="H14" s="4"/>
    </row>
    <row r="15" spans="1:8" x14ac:dyDescent="0.35">
      <c r="A15" s="3" t="s">
        <v>13</v>
      </c>
      <c r="B15" s="5">
        <v>50000</v>
      </c>
      <c r="C15" s="4">
        <v>6</v>
      </c>
      <c r="D15" s="4">
        <f t="shared" si="0"/>
        <v>24</v>
      </c>
      <c r="E15" s="1">
        <v>0.25</v>
      </c>
      <c r="F15" s="1">
        <v>0.75</v>
      </c>
      <c r="G15" s="4"/>
      <c r="H15" s="1">
        <v>4.1666666666666664E-2</v>
      </c>
    </row>
    <row r="16" spans="1:8" x14ac:dyDescent="0.35">
      <c r="A16" s="3" t="s">
        <v>14</v>
      </c>
      <c r="B16" s="5">
        <v>54000</v>
      </c>
      <c r="C16" s="4">
        <v>6</v>
      </c>
      <c r="D16" s="4">
        <f t="shared" si="0"/>
        <v>24</v>
      </c>
      <c r="E16" s="1">
        <f t="shared" si="2"/>
        <v>0.25</v>
      </c>
      <c r="F16" s="1">
        <f t="shared" si="1"/>
        <v>0.75</v>
      </c>
      <c r="G16" s="4"/>
      <c r="H16" s="1">
        <v>4.1666666666666664E-2</v>
      </c>
    </row>
    <row r="17" spans="1:8" x14ac:dyDescent="0.35">
      <c r="A17" s="3" t="s">
        <v>23</v>
      </c>
      <c r="B17" s="5">
        <v>60000</v>
      </c>
      <c r="C17" s="4">
        <v>6</v>
      </c>
      <c r="D17" s="4">
        <f t="shared" si="0"/>
        <v>24</v>
      </c>
      <c r="E17" s="1">
        <f t="shared" si="2"/>
        <v>0.25</v>
      </c>
      <c r="F17" s="1">
        <f t="shared" si="1"/>
        <v>0.75</v>
      </c>
      <c r="G17" s="4"/>
      <c r="H17" s="1">
        <v>4.1666666666666664E-2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2026-04-01T20:29:01Z</dcterms:modified>
</cp:coreProperties>
</file>